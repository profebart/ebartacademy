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ric.bartulici\Downloads\"/>
    </mc:Choice>
  </mc:AlternateContent>
  <xr:revisionPtr revIDLastSave="0" documentId="13_ncr:1_{8D5426A3-8DCA-44A0-BEE9-232755341500}" xr6:coauthVersionLast="47" xr6:coauthVersionMax="47" xr10:uidLastSave="{00000000-0000-0000-0000-000000000000}"/>
  <bookViews>
    <workbookView xWindow="-120" yWindow="-120" windowWidth="24240" windowHeight="13020" xr2:uid="{19B9FE3D-DC36-4244-863E-08F412CA72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H5" i="1"/>
</calcChain>
</file>

<file path=xl/sharedStrings.xml><?xml version="1.0" encoding="utf-8"?>
<sst xmlns="http://schemas.openxmlformats.org/spreadsheetml/2006/main" count="37" uniqueCount="34">
  <si>
    <t>Nível HidroC</t>
  </si>
  <si>
    <t>Pureza(%)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</si>
  <si>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</si>
  <si>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</si>
  <si>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</si>
  <si>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</si>
  <si>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</si>
  <si>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</si>
  <si>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</si>
  <si>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</si>
  <si>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</si>
  <si>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</si>
  <si>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</si>
  <si>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</si>
  <si>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</si>
  <si>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</si>
  <si>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</si>
  <si>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</si>
  <si>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</si>
  <si>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</si>
  <si>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</si>
  <si>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</si>
  <si>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</si>
  <si>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</si>
  <si>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</si>
  <si>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</si>
  <si>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RESULTADOS DE RESÍDUOS</t>
  </si>
  <si>
    <t>Observação</t>
  </si>
  <si>
    <t>Previsto(a) Pureza(%)</t>
  </si>
  <si>
    <t>Resíduos</t>
  </si>
  <si>
    <t>RESULTADOS DE PROBABILIDADE</t>
  </si>
  <si>
    <t>Percentil</t>
  </si>
  <si>
    <t>Y^</t>
  </si>
  <si>
    <t>Hidro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</si>
</sst>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Nível HidroC Plotagem de resíduos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Planilha1!$A$2:$A$21</c:f>
              <c:numCache>
                <c:formatCode>General</c:formatCode>
                <c:ptCount val="20"/>
                <c:pt idx="0">
                  <c:v>0.99</c:v>
                </c:pt>
                <c:pt idx="1">
                  <c:v>1.02</c:v>
                </c:pt>
                <c:pt idx="2">
                  <c:v>1.1499999999999999</c:v>
                </c:pt>
                <c:pt idx="3">
                  <c:v>1.29</c:v>
                </c:pt>
                <c:pt idx="4">
                  <c:v>1.46</c:v>
                </c:pt>
                <c:pt idx="5">
                  <c:v>1.36</c:v>
                </c:pt>
                <c:pt idx="6">
                  <c:v>0.87</c:v>
                </c:pt>
                <c:pt idx="7">
                  <c:v>1.23</c:v>
                </c:pt>
                <c:pt idx="8">
                  <c:v>1.55</c:v>
                </c:pt>
                <c:pt idx="9">
                  <c:v>1.4</c:v>
                </c:pt>
                <c:pt idx="10">
                  <c:v>1.19</c:v>
                </c:pt>
                <c:pt idx="11">
                  <c:v>1.1499999999999999</c:v>
                </c:pt>
                <c:pt idx="12">
                  <c:v>0.98</c:v>
                </c:pt>
                <c:pt idx="13">
                  <c:v>1.01</c:v>
                </c:pt>
                <c:pt idx="14">
                  <c:v>1.1100000000000001</c:v>
                </c:pt>
                <c:pt idx="15">
                  <c:v>1.2</c:v>
                </c:pt>
                <c:pt idx="16">
                  <c:v>1.26</c:v>
                </c:pt>
                <c:pt idx="17">
                  <c:v>1.32</c:v>
                </c:pt>
                <c:pt idx="18">
                  <c:v>1.43</c:v>
                </c:pt>
                <c:pt idx="19">
                  <c:v>0.95</c:v>
                </c:pt>
              </c:numCache>
            </c:numRef>
          </c:xVal>
          <c:yVal>
            <c:numRef>
              <c:f>Planilha1!$F$26:$F$45</c:f>
              <c:numCache>
                <c:formatCode>General</c:formatCode>
                <c:ptCount val="20"/>
                <c:pt idx="0">
                  <c:v>0.92868082481494696</c:v>
                </c:pt>
                <c:pt idx="1">
                  <c:v>-0.47974356714840383</c:v>
                </c:pt>
                <c:pt idx="2">
                  <c:v>-4.2915932322870276E-2</c:v>
                </c:pt>
                <c:pt idx="3">
                  <c:v>0.17443690518152266</c:v>
                </c:pt>
                <c:pt idx="4">
                  <c:v>0.6233653507225938</c:v>
                </c:pt>
                <c:pt idx="5">
                  <c:v>-0.16188667606627405</c:v>
                </c:pt>
                <c:pt idx="6">
                  <c:v>0.30237839266831656</c:v>
                </c:pt>
                <c:pt idx="7">
                  <c:v>-0.89871431089179055</c:v>
                </c:pt>
                <c:pt idx="8">
                  <c:v>1.968092174832563</c:v>
                </c:pt>
                <c:pt idx="9">
                  <c:v>-1.5597858653507188</c:v>
                </c:pt>
                <c:pt idx="10">
                  <c:v>1.4691848783926673</c:v>
                </c:pt>
                <c:pt idx="11">
                  <c:v>1.0470840676771189</c:v>
                </c:pt>
                <c:pt idx="12">
                  <c:v>1.6281556221360631</c:v>
                </c:pt>
                <c:pt idx="13">
                  <c:v>0.15973123017272428</c:v>
                </c:pt>
                <c:pt idx="14">
                  <c:v>-1.0250167430384352</c:v>
                </c:pt>
                <c:pt idx="15">
                  <c:v>-1.8302899189284432</c:v>
                </c:pt>
                <c:pt idx="16">
                  <c:v>0.1328612971448706</c:v>
                </c:pt>
                <c:pt idx="17">
                  <c:v>-0.60398748678181846</c:v>
                </c:pt>
                <c:pt idx="18">
                  <c:v>-0.67821025731406337</c:v>
                </c:pt>
                <c:pt idx="19">
                  <c:v>-1.153419985900598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1B-42D5-ABB4-902E20D6A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058064"/>
        <c:axId val="1254059984"/>
      </c:scatterChart>
      <c:valAx>
        <c:axId val="125405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Nível HidroC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059984"/>
        <c:crosses val="autoZero"/>
        <c:crossBetween val="midCat"/>
      </c:valAx>
      <c:valAx>
        <c:axId val="1254059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Resíduos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058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Plotagem de probabilidade normal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Planilha1!$H$26:$H$45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Planilha1!$I$26:$I$45</c:f>
              <c:numCache>
                <c:formatCode>General</c:formatCode>
                <c:ptCount val="20"/>
                <c:pt idx="0">
                  <c:v>87.33</c:v>
                </c:pt>
                <c:pt idx="1">
                  <c:v>87.59</c:v>
                </c:pt>
                <c:pt idx="2">
                  <c:v>89.05</c:v>
                </c:pt>
                <c:pt idx="3">
                  <c:v>89.54</c:v>
                </c:pt>
                <c:pt idx="4">
                  <c:v>89.85</c:v>
                </c:pt>
                <c:pt idx="5">
                  <c:v>90.01</c:v>
                </c:pt>
                <c:pt idx="6">
                  <c:v>90.39</c:v>
                </c:pt>
                <c:pt idx="7">
                  <c:v>90.56</c:v>
                </c:pt>
                <c:pt idx="8">
                  <c:v>91.43</c:v>
                </c:pt>
                <c:pt idx="9">
                  <c:v>91.77</c:v>
                </c:pt>
                <c:pt idx="10">
                  <c:v>92.52</c:v>
                </c:pt>
                <c:pt idx="11">
                  <c:v>93.25</c:v>
                </c:pt>
                <c:pt idx="12">
                  <c:v>93.41</c:v>
                </c:pt>
                <c:pt idx="13">
                  <c:v>93.54</c:v>
                </c:pt>
                <c:pt idx="14">
                  <c:v>93.65</c:v>
                </c:pt>
                <c:pt idx="15">
                  <c:v>93.74</c:v>
                </c:pt>
                <c:pt idx="16">
                  <c:v>94.45</c:v>
                </c:pt>
                <c:pt idx="17">
                  <c:v>94.98</c:v>
                </c:pt>
                <c:pt idx="18">
                  <c:v>96.73</c:v>
                </c:pt>
                <c:pt idx="19">
                  <c:v>99.42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22-4C58-800B-D3E640094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000944"/>
        <c:axId val="1254003824"/>
      </c:scatterChart>
      <c:valAx>
        <c:axId val="125400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Percentil da amostra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003824"/>
        <c:crosses val="autoZero"/>
        <c:crossBetween val="midCat"/>
      </c:valAx>
      <c:valAx>
        <c:axId val="1254003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Pureza(%)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0009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Pureza(%)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29841664528775"/>
                  <c:y val="-0.26599702863920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Planilha1!$A$2:$A$21</c:f>
              <c:numCache>
                <c:formatCode>General</c:formatCode>
                <c:ptCount val="20"/>
                <c:pt idx="0">
                  <c:v>0.99</c:v>
                </c:pt>
                <c:pt idx="1">
                  <c:v>1.02</c:v>
                </c:pt>
                <c:pt idx="2">
                  <c:v>1.1499999999999999</c:v>
                </c:pt>
                <c:pt idx="3">
                  <c:v>1.29</c:v>
                </c:pt>
                <c:pt idx="4">
                  <c:v>1.46</c:v>
                </c:pt>
                <c:pt idx="5">
                  <c:v>1.36</c:v>
                </c:pt>
                <c:pt idx="6">
                  <c:v>0.87</c:v>
                </c:pt>
                <c:pt idx="7">
                  <c:v>1.23</c:v>
                </c:pt>
                <c:pt idx="8">
                  <c:v>1.55</c:v>
                </c:pt>
                <c:pt idx="9">
                  <c:v>1.4</c:v>
                </c:pt>
                <c:pt idx="10">
                  <c:v>1.19</c:v>
                </c:pt>
                <c:pt idx="11">
                  <c:v>1.1499999999999999</c:v>
                </c:pt>
                <c:pt idx="12">
                  <c:v>0.98</c:v>
                </c:pt>
                <c:pt idx="13">
                  <c:v>1.01</c:v>
                </c:pt>
                <c:pt idx="14">
                  <c:v>1.1100000000000001</c:v>
                </c:pt>
                <c:pt idx="15">
                  <c:v>1.2</c:v>
                </c:pt>
                <c:pt idx="16">
                  <c:v>1.26</c:v>
                </c:pt>
                <c:pt idx="17">
                  <c:v>1.32</c:v>
                </c:pt>
                <c:pt idx="18">
                  <c:v>1.43</c:v>
                </c:pt>
                <c:pt idx="19">
                  <c:v>0.95</c:v>
                </c:pt>
              </c:numCache>
            </c:numRef>
          </c:xVal>
          <c:yVal>
            <c:numRef>
              <c:f>Planilha1!$B$2:$B$21</c:f>
              <c:numCache>
                <c:formatCode>General</c:formatCode>
                <c:ptCount val="20"/>
                <c:pt idx="0">
                  <c:v>90.01</c:v>
                </c:pt>
                <c:pt idx="1">
                  <c:v>89.05</c:v>
                </c:pt>
                <c:pt idx="2">
                  <c:v>91.43</c:v>
                </c:pt>
                <c:pt idx="3">
                  <c:v>93.74</c:v>
                </c:pt>
                <c:pt idx="4">
                  <c:v>96.73</c:v>
                </c:pt>
                <c:pt idx="5">
                  <c:v>94.45</c:v>
                </c:pt>
                <c:pt idx="6">
                  <c:v>87.59</c:v>
                </c:pt>
                <c:pt idx="7">
                  <c:v>91.77</c:v>
                </c:pt>
                <c:pt idx="8">
                  <c:v>99.42</c:v>
                </c:pt>
                <c:pt idx="9">
                  <c:v>93.65</c:v>
                </c:pt>
                <c:pt idx="10">
                  <c:v>93.54</c:v>
                </c:pt>
                <c:pt idx="11">
                  <c:v>92.52</c:v>
                </c:pt>
                <c:pt idx="12">
                  <c:v>90.56</c:v>
                </c:pt>
                <c:pt idx="13">
                  <c:v>89.54</c:v>
                </c:pt>
                <c:pt idx="14">
                  <c:v>89.85</c:v>
                </c:pt>
                <c:pt idx="15">
                  <c:v>90.39</c:v>
                </c:pt>
                <c:pt idx="16">
                  <c:v>93.25</c:v>
                </c:pt>
                <c:pt idx="17">
                  <c:v>93.41</c:v>
                </c:pt>
                <c:pt idx="18">
                  <c:v>94.98</c:v>
                </c:pt>
                <c:pt idx="19">
                  <c:v>87.33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0-4AF3-AD69-64222C490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021104"/>
        <c:axId val="1254015344"/>
      </c:scatterChart>
      <c:valAx>
        <c:axId val="1254021104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Hidocarboneto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015344"/>
        <c:crosses val="autoZero"/>
        <c:crossBetween val="midCat"/>
      </c:valAx>
      <c:valAx>
        <c:axId val="125401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Pureza(%)</a:t>
                </a:r>
              </a:p>
            </c:rich>
          </c:tx>
          <c:layout>
            <c:manualLayout>
              <c:xMode val="edge"/>
              <c:yMode val="edge"/>
              <c:x val="2.0885547201336674E-2"/>
              <c:y val="0.391589989598679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02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312006</xdr:colOff>
      <xdr:row>1</xdr:row>
      <xdr:rowOff>76863</xdr:rowOff>
    </xdr:from>
    <xdr:to>
      <xdr:col>34</xdr:col>
      <xdr:colOff>593945</xdr:colOff>
      <xdr:row>20</xdr:row>
      <xdr:rowOff>132523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3D7D4E-E447-8664-DE9C-151384C53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169958</xdr:colOff>
      <xdr:row>1</xdr:row>
      <xdr:rowOff>59717</xdr:rowOff>
    </xdr:from>
    <xdr:to>
      <xdr:col>27</xdr:col>
      <xdr:colOff>4223</xdr:colOff>
      <xdr:row>20</xdr:row>
      <xdr:rowOff>82412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C81EA4-EC1B-CB53-5D24-04915E1E3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483870</xdr:colOff>
      <xdr:row>20</xdr:row>
      <xdr:rowOff>120491</xdr:rowOff>
    </xdr:from>
    <xdr:to>
      <xdr:col>13</xdr:col>
      <xdr:colOff>163830</xdr:colOff>
      <xdr:row>41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FB7CFE-CF8F-887D-5A97-8C8247D9F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5AB3-162D-4490-8184-8BF931144105}">
  <dimension ref="A1:L45"/>
  <sheetViews>
    <sheetView tabSelected="1" zoomScale="160" zoomScaleNormal="160" workbookViewId="0">
      <selection activeCell="C5" sqref="C5"/>
    </sheetView>
  </sheetViews>
  <sheetFormatPr defaultRowHeight="15" x14ac:dyDescent="0.25"/>
  <cols>
    <col min="1" max="1" width="14.140625" customWidth="1"/>
    <col min="2" max="2" width="10.28515625" bestFit="1" customWidth="1"/>
    <col min="4" max="12" width="10.5703125" customWidth="1"/>
  </cols>
  <sheetData>
    <row r="1" spans="1:9" x14ac:dyDescent="0.25">
      <c r="A1" s="1" t="s">
        <v>0</v>
      </c>
      <c r="B1" s="1" t="s">
        <v>1</v>
      </c>
    </row>
    <row r="2" spans="1:9" x14ac:dyDescent="0.25">
      <c r="A2" s="2">
        <v>0.99</v>
      </c>
      <c r="B2" s="2">
        <v>90.01</v>
      </c>
      <c r="D2" t="s">
        <v>2</v>
      </c>
    </row>
    <row r="3" spans="1:9" ht="15.75" thickBot="1" x14ac:dyDescent="0.3">
      <c r="A3" s="2">
        <v>1.02</v>
      </c>
      <c r="B3" s="2">
        <v>89.05</v>
      </c>
    </row>
    <row r="4" spans="1:9" x14ac:dyDescent="0.25">
      <c r="A4" s="2">
        <v>1.1499999999999999</v>
      </c>
      <c r="B4" s="2">
        <v>91.43</v>
      </c>
      <c r="D4" s="5" t="s">
        <v>3</v>
      </c>
      <c r="E4" s="5"/>
      <c r="G4" t="s">
        <v>33</v>
      </c>
      <c r="H4" t="s">
        <v>32</v>
      </c>
    </row>
    <row r="5" spans="1:9" x14ac:dyDescent="0.25">
      <c r="A5" s="2">
        <v>1.29</v>
      </c>
      <c r="B5" s="2">
        <v>93.74</v>
      </c>
      <c r="D5" t="s">
        <v>4</v>
      </c>
      <c r="E5">
        <v>0.93671538109051844</v>
      </c>
      <c r="G5" s="6">
        <v>1.2187128590293819</v>
      </c>
      <c r="H5">
        <f>E19*G5+E18</f>
        <v>92.5</v>
      </c>
    </row>
    <row r="6" spans="1:9" x14ac:dyDescent="0.25">
      <c r="A6" s="2">
        <v>1.46</v>
      </c>
      <c r="B6" s="2">
        <v>96.73</v>
      </c>
      <c r="D6" t="s">
        <v>5</v>
      </c>
      <c r="E6">
        <v>0.87743570517155511</v>
      </c>
    </row>
    <row r="7" spans="1:9" x14ac:dyDescent="0.25">
      <c r="A7" s="2">
        <v>1.36</v>
      </c>
      <c r="B7" s="2">
        <v>94.45</v>
      </c>
      <c r="D7" t="s">
        <v>6</v>
      </c>
      <c r="E7">
        <v>0.87062657768108587</v>
      </c>
    </row>
    <row r="8" spans="1:9" x14ac:dyDescent="0.25">
      <c r="A8" s="2">
        <v>0.87</v>
      </c>
      <c r="B8" s="2">
        <v>87.59</v>
      </c>
      <c r="D8" t="s">
        <v>7</v>
      </c>
      <c r="E8">
        <v>1.0865290525138689</v>
      </c>
    </row>
    <row r="9" spans="1:9" ht="15.75" thickBot="1" x14ac:dyDescent="0.3">
      <c r="A9" s="2">
        <v>1.23</v>
      </c>
      <c r="B9" s="2">
        <v>91.77</v>
      </c>
      <c r="D9" s="3" t="s">
        <v>8</v>
      </c>
      <c r="E9" s="3">
        <v>20</v>
      </c>
    </row>
    <row r="10" spans="1:9" x14ac:dyDescent="0.25">
      <c r="A10" s="2">
        <v>1.55</v>
      </c>
      <c r="B10" s="2">
        <v>99.42</v>
      </c>
    </row>
    <row r="11" spans="1:9" ht="15.75" thickBot="1" x14ac:dyDescent="0.3">
      <c r="A11" s="2">
        <v>1.4</v>
      </c>
      <c r="B11" s="2">
        <v>93.65</v>
      </c>
      <c r="D11" t="s">
        <v>9</v>
      </c>
    </row>
    <row r="12" spans="1:9" x14ac:dyDescent="0.25">
      <c r="A12" s="2">
        <v>1.19</v>
      </c>
      <c r="B12" s="2">
        <v>93.54</v>
      </c>
      <c r="D12" s="4"/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18</v>
      </c>
    </row>
    <row r="13" spans="1:9" x14ac:dyDescent="0.25">
      <c r="A13" s="2">
        <v>1.1499999999999999</v>
      </c>
      <c r="B13" s="2">
        <v>92.52</v>
      </c>
      <c r="D13" t="s">
        <v>10</v>
      </c>
      <c r="E13">
        <v>1</v>
      </c>
      <c r="F13">
        <v>152.12707812477973</v>
      </c>
      <c r="G13">
        <v>152.12707812477973</v>
      </c>
      <c r="H13">
        <v>128.8616943066076</v>
      </c>
      <c r="I13">
        <v>1.2273143444594011E-9</v>
      </c>
    </row>
    <row r="14" spans="1:9" x14ac:dyDescent="0.25">
      <c r="A14" s="2">
        <v>0.98</v>
      </c>
      <c r="B14" s="2">
        <v>90.56</v>
      </c>
      <c r="D14" t="s">
        <v>11</v>
      </c>
      <c r="E14">
        <v>18</v>
      </c>
      <c r="F14">
        <v>21.24981687522034</v>
      </c>
      <c r="G14">
        <v>1.1805453819566856</v>
      </c>
    </row>
    <row r="15" spans="1:9" ht="15.75" thickBot="1" x14ac:dyDescent="0.3">
      <c r="A15" s="2">
        <v>1.01</v>
      </c>
      <c r="B15" s="2">
        <v>89.54</v>
      </c>
      <c r="D15" s="3" t="s">
        <v>12</v>
      </c>
      <c r="E15" s="3">
        <v>19</v>
      </c>
      <c r="F15" s="3">
        <v>173.37689500000008</v>
      </c>
      <c r="G15" s="3"/>
      <c r="H15" s="3"/>
      <c r="I15" s="3"/>
    </row>
    <row r="16" spans="1:9" ht="15.75" thickBot="1" x14ac:dyDescent="0.3">
      <c r="A16" s="2">
        <v>1.1100000000000001</v>
      </c>
      <c r="B16" s="2">
        <v>89.85</v>
      </c>
    </row>
    <row r="17" spans="1:12" x14ac:dyDescent="0.25">
      <c r="A17" s="2">
        <v>1.2</v>
      </c>
      <c r="B17" s="2">
        <v>90.39</v>
      </c>
      <c r="D17" s="4"/>
      <c r="E17" s="4" t="s">
        <v>19</v>
      </c>
      <c r="F17" s="4" t="s">
        <v>7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24</v>
      </c>
      <c r="L17" s="4" t="s">
        <v>25</v>
      </c>
    </row>
    <row r="18" spans="1:12" x14ac:dyDescent="0.25">
      <c r="A18" s="2">
        <v>1.26</v>
      </c>
      <c r="B18" s="2">
        <v>93.25</v>
      </c>
      <c r="D18" t="s">
        <v>13</v>
      </c>
      <c r="E18">
        <v>74.283314240394787</v>
      </c>
      <c r="F18">
        <v>1.5934733757852924</v>
      </c>
      <c r="G18">
        <v>46.617229612503962</v>
      </c>
      <c r="H18">
        <v>3.1714756211375858E-20</v>
      </c>
      <c r="I18">
        <v>70.93555090467018</v>
      </c>
      <c r="J18">
        <v>77.631077576119395</v>
      </c>
      <c r="K18">
        <v>70.93555090467018</v>
      </c>
      <c r="L18">
        <v>77.631077576119395</v>
      </c>
    </row>
    <row r="19" spans="1:12" ht="15.75" thickBot="1" x14ac:dyDescent="0.3">
      <c r="A19" s="2">
        <v>1.32</v>
      </c>
      <c r="B19" s="2">
        <v>93.41</v>
      </c>
      <c r="D19" s="3" t="s">
        <v>0</v>
      </c>
      <c r="E19" s="3">
        <v>14.947479732111384</v>
      </c>
      <c r="F19" s="3">
        <v>1.3167582697763429</v>
      </c>
      <c r="G19" s="3">
        <v>11.351726490125085</v>
      </c>
      <c r="H19" s="3">
        <v>1.2273143444594054E-9</v>
      </c>
      <c r="I19" s="3">
        <v>12.181073261468612</v>
      </c>
      <c r="J19" s="3">
        <v>17.713886202754157</v>
      </c>
      <c r="K19" s="3">
        <v>12.181073261468612</v>
      </c>
      <c r="L19" s="3">
        <v>17.713886202754157</v>
      </c>
    </row>
    <row r="20" spans="1:12" x14ac:dyDescent="0.25">
      <c r="A20" s="2">
        <v>1.43</v>
      </c>
      <c r="B20" s="2">
        <v>94.98</v>
      </c>
    </row>
    <row r="21" spans="1:12" x14ac:dyDescent="0.25">
      <c r="A21" s="2">
        <v>0.95</v>
      </c>
      <c r="B21" s="2">
        <v>87.33</v>
      </c>
    </row>
    <row r="22" spans="1:12" x14ac:dyDescent="0.25">
      <c r="A22">
        <f>LARGE(A2:A21,1)</f>
        <v>1.55</v>
      </c>
    </row>
    <row r="23" spans="1:12" x14ac:dyDescent="0.25">
      <c r="D23" t="s">
        <v>26</v>
      </c>
      <c r="H23" t="s">
        <v>30</v>
      </c>
    </row>
    <row r="24" spans="1:12" ht="15.75" thickBot="1" x14ac:dyDescent="0.3"/>
    <row r="25" spans="1:12" x14ac:dyDescent="0.25">
      <c r="D25" s="4" t="s">
        <v>27</v>
      </c>
      <c r="E25" s="4" t="s">
        <v>28</v>
      </c>
      <c r="F25" s="4" t="s">
        <v>29</v>
      </c>
      <c r="H25" s="4" t="s">
        <v>31</v>
      </c>
      <c r="I25" s="4" t="s">
        <v>1</v>
      </c>
    </row>
    <row r="26" spans="1:12" x14ac:dyDescent="0.25">
      <c r="D26">
        <v>1</v>
      </c>
      <c r="E26">
        <v>89.081319175185058</v>
      </c>
      <c r="F26">
        <v>0.92868082481494696</v>
      </c>
      <c r="H26">
        <v>2.5</v>
      </c>
      <c r="I26">
        <v>87.33</v>
      </c>
    </row>
    <row r="27" spans="1:12" x14ac:dyDescent="0.25">
      <c r="D27">
        <v>2</v>
      </c>
      <c r="E27">
        <v>89.529743567148401</v>
      </c>
      <c r="F27">
        <v>-0.47974356714840383</v>
      </c>
      <c r="H27">
        <v>7.5</v>
      </c>
      <c r="I27">
        <v>87.59</v>
      </c>
    </row>
    <row r="28" spans="1:12" x14ac:dyDescent="0.25">
      <c r="D28">
        <v>3</v>
      </c>
      <c r="E28">
        <v>91.472915932322877</v>
      </c>
      <c r="F28">
        <v>-4.2915932322870276E-2</v>
      </c>
      <c r="H28">
        <v>12.5</v>
      </c>
      <c r="I28">
        <v>89.05</v>
      </c>
    </row>
    <row r="29" spans="1:12" x14ac:dyDescent="0.25">
      <c r="D29">
        <v>4</v>
      </c>
      <c r="E29">
        <v>93.565563094818472</v>
      </c>
      <c r="F29">
        <v>0.17443690518152266</v>
      </c>
      <c r="H29">
        <v>17.5</v>
      </c>
      <c r="I29">
        <v>89.54</v>
      </c>
    </row>
    <row r="30" spans="1:12" x14ac:dyDescent="0.25">
      <c r="D30">
        <v>5</v>
      </c>
      <c r="E30">
        <v>96.10663464927741</v>
      </c>
      <c r="F30">
        <v>0.6233653507225938</v>
      </c>
      <c r="H30">
        <v>22.5</v>
      </c>
      <c r="I30">
        <v>89.85</v>
      </c>
    </row>
    <row r="31" spans="1:12" x14ac:dyDescent="0.25">
      <c r="D31">
        <v>6</v>
      </c>
      <c r="E31">
        <v>94.611886676066277</v>
      </c>
      <c r="F31">
        <v>-0.16188667606627405</v>
      </c>
      <c r="H31">
        <v>27.5</v>
      </c>
      <c r="I31">
        <v>90.01</v>
      </c>
    </row>
    <row r="32" spans="1:12" x14ac:dyDescent="0.25">
      <c r="D32">
        <v>7</v>
      </c>
      <c r="E32">
        <v>87.287621607331687</v>
      </c>
      <c r="F32">
        <v>0.30237839266831656</v>
      </c>
      <c r="H32">
        <v>32.5</v>
      </c>
      <c r="I32">
        <v>90.39</v>
      </c>
    </row>
    <row r="33" spans="4:9" x14ac:dyDescent="0.25">
      <c r="D33">
        <v>8</v>
      </c>
      <c r="E33">
        <v>92.668714310891787</v>
      </c>
      <c r="F33">
        <v>-0.89871431089179055</v>
      </c>
      <c r="H33">
        <v>37.5</v>
      </c>
      <c r="I33">
        <v>90.56</v>
      </c>
    </row>
    <row r="34" spans="4:9" x14ac:dyDescent="0.25">
      <c r="D34">
        <v>9</v>
      </c>
      <c r="E34">
        <v>97.451907825167439</v>
      </c>
      <c r="F34">
        <v>1.968092174832563</v>
      </c>
      <c r="H34">
        <v>42.5</v>
      </c>
      <c r="I34">
        <v>91.43</v>
      </c>
    </row>
    <row r="35" spans="4:9" x14ac:dyDescent="0.25">
      <c r="D35">
        <v>10</v>
      </c>
      <c r="E35">
        <v>95.209785865350725</v>
      </c>
      <c r="F35">
        <v>-1.5597858653507188</v>
      </c>
      <c r="H35">
        <v>47.5</v>
      </c>
      <c r="I35">
        <v>91.77</v>
      </c>
    </row>
    <row r="36" spans="4:9" x14ac:dyDescent="0.25">
      <c r="D36">
        <v>11</v>
      </c>
      <c r="E36">
        <v>92.070815121607339</v>
      </c>
      <c r="F36">
        <v>1.4691848783926673</v>
      </c>
      <c r="H36">
        <v>52.5</v>
      </c>
      <c r="I36">
        <v>92.52</v>
      </c>
    </row>
    <row r="37" spans="4:9" x14ac:dyDescent="0.25">
      <c r="D37">
        <v>12</v>
      </c>
      <c r="E37">
        <v>91.472915932322877</v>
      </c>
      <c r="F37">
        <v>1.0470840676771189</v>
      </c>
      <c r="H37">
        <v>57.5</v>
      </c>
      <c r="I37">
        <v>93.25</v>
      </c>
    </row>
    <row r="38" spans="4:9" x14ac:dyDescent="0.25">
      <c r="D38">
        <v>13</v>
      </c>
      <c r="E38">
        <v>88.931844377863939</v>
      </c>
      <c r="F38">
        <v>1.6281556221360631</v>
      </c>
      <c r="H38">
        <v>62.5</v>
      </c>
      <c r="I38">
        <v>93.41</v>
      </c>
    </row>
    <row r="39" spans="4:9" x14ac:dyDescent="0.25">
      <c r="D39">
        <v>14</v>
      </c>
      <c r="E39">
        <v>89.380268769827282</v>
      </c>
      <c r="F39">
        <v>0.15973123017272428</v>
      </c>
      <c r="H39">
        <v>67.5</v>
      </c>
      <c r="I39">
        <v>93.54</v>
      </c>
    </row>
    <row r="40" spans="4:9" x14ac:dyDescent="0.25">
      <c r="D40">
        <v>15</v>
      </c>
      <c r="E40">
        <v>90.875016743038429</v>
      </c>
      <c r="F40">
        <v>-1.0250167430384352</v>
      </c>
      <c r="H40">
        <v>72.5</v>
      </c>
      <c r="I40">
        <v>93.65</v>
      </c>
    </row>
    <row r="41" spans="4:9" x14ac:dyDescent="0.25">
      <c r="D41">
        <v>16</v>
      </c>
      <c r="E41">
        <v>92.220289918928444</v>
      </c>
      <c r="F41">
        <v>-1.8302899189284432</v>
      </c>
      <c r="H41">
        <v>77.5</v>
      </c>
      <c r="I41">
        <v>93.74</v>
      </c>
    </row>
    <row r="42" spans="4:9" x14ac:dyDescent="0.25">
      <c r="D42">
        <v>17</v>
      </c>
      <c r="E42">
        <v>93.117138702855129</v>
      </c>
      <c r="F42">
        <v>0.1328612971448706</v>
      </c>
      <c r="H42">
        <v>82.5</v>
      </c>
      <c r="I42">
        <v>94.45</v>
      </c>
    </row>
    <row r="43" spans="4:9" x14ac:dyDescent="0.25">
      <c r="D43">
        <v>18</v>
      </c>
      <c r="E43">
        <v>94.013987486781815</v>
      </c>
      <c r="F43">
        <v>-0.60398748678181846</v>
      </c>
      <c r="H43">
        <v>87.5</v>
      </c>
      <c r="I43">
        <v>94.98</v>
      </c>
    </row>
    <row r="44" spans="4:9" x14ac:dyDescent="0.25">
      <c r="D44">
        <v>19</v>
      </c>
      <c r="E44">
        <v>95.658210257314067</v>
      </c>
      <c r="F44">
        <v>-0.67821025731406337</v>
      </c>
      <c r="H44">
        <v>92.5</v>
      </c>
      <c r="I44">
        <v>96.73</v>
      </c>
    </row>
    <row r="45" spans="4:9" ht="15.75" thickBot="1" x14ac:dyDescent="0.3">
      <c r="D45" s="3">
        <v>20</v>
      </c>
      <c r="E45" s="3">
        <v>88.483419985900596</v>
      </c>
      <c r="F45" s="3">
        <v>-1.153419985900598</v>
      </c>
      <c r="H45" s="3">
        <v>97.5</v>
      </c>
      <c r="I45" s="3">
        <v>99.42</v>
      </c>
    </row>
  </sheetData>
  <sortState xmlns:xlrd2="http://schemas.microsoft.com/office/spreadsheetml/2017/richdata2" ref="I26:I45">
    <sortCondition ref="I2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Bartulici</dc:creator>
  <cp:lastModifiedBy>Eric Bartulici</cp:lastModifiedBy>
  <dcterms:created xsi:type="dcterms:W3CDTF">2025-11-06T19:33:45Z</dcterms:created>
  <dcterms:modified xsi:type="dcterms:W3CDTF">2026-04-16T19:56:24Z</dcterms:modified>
</cp:coreProperties>
</file>